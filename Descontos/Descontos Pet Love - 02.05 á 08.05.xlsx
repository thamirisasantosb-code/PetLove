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silva\Downloads\"/>
    </mc:Choice>
  </mc:AlternateContent>
  <xr:revisionPtr revIDLastSave="0" documentId="13_ncr:1_{27E4615B-C9FB-440C-AAED-2AE0D9C13A2E}" xr6:coauthVersionLast="47" xr6:coauthVersionMax="47" xr10:uidLastSave="{00000000-0000-0000-0000-000000000000}"/>
  <bookViews>
    <workbookView xWindow="-120" yWindow="-120" windowWidth="20730" windowHeight="11160" xr2:uid="{D8029D6C-17B7-412D-9A9A-B46946A22270}"/>
  </bookViews>
  <sheets>
    <sheet name="Descont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2" i="1"/>
</calcChain>
</file>

<file path=xl/sharedStrings.xml><?xml version="1.0" encoding="utf-8"?>
<sst xmlns="http://schemas.openxmlformats.org/spreadsheetml/2006/main" count="63" uniqueCount="40">
  <si>
    <t>Data do Carregamento</t>
  </si>
  <si>
    <t>ID_do_Pedido</t>
  </si>
  <si>
    <t>Motorista</t>
  </si>
  <si>
    <t>Rota</t>
  </si>
  <si>
    <t>Placa do veículo</t>
  </si>
  <si>
    <t>Valor</t>
  </si>
  <si>
    <t>JM SP - BRUNO BORGES SOUSA</t>
  </si>
  <si>
    <t>TDU5E35</t>
  </si>
  <si>
    <t>JM SP - FABIO FIGUEIREDO ALMEIDA</t>
  </si>
  <si>
    <t>TXF0H12</t>
  </si>
  <si>
    <t>JM SP - GUSTAVO JUNIOR BARBOSA DA SILVA</t>
  </si>
  <si>
    <t>TDX2C63</t>
  </si>
  <si>
    <t>JM SP - YGOR ASSIS CERQUEIRA SANTOS</t>
  </si>
  <si>
    <t>TJM0B21</t>
  </si>
  <si>
    <t>JM SP - JEFFERSON HIDEKI HATANAKA</t>
  </si>
  <si>
    <t>TDX2D10</t>
  </si>
  <si>
    <t>PANTERA - JEFFERSON HIDEKI HATANAKA</t>
  </si>
  <si>
    <t>JM SP - WILSON PITORI</t>
  </si>
  <si>
    <t>GHC7B11</t>
  </si>
  <si>
    <t>JM SP - WESLEY DA SILVA FELIX</t>
  </si>
  <si>
    <t>TDX2D00</t>
  </si>
  <si>
    <t>BAR - FABIO LUIS DOS SANTOS</t>
  </si>
  <si>
    <t>RLM0J24</t>
  </si>
  <si>
    <t>JM SSZ - JOSE CLERISTON DIAS DE FRANCA</t>
  </si>
  <si>
    <t xml:space="preserve">	JM SP - FABIO FIGUEIREDO ALMEIDA</t>
  </si>
  <si>
    <t xml:space="preserve">	JM SP - YGOR ASSIS CERQUEIRA SANTOS</t>
  </si>
  <si>
    <t>JM SSZ - JEFFERSON SOUZA DE ALMEIDA</t>
  </si>
  <si>
    <t>RTB0J45</t>
  </si>
  <si>
    <t>JM SP - ELLIABY MEIRA SANTOS</t>
  </si>
  <si>
    <t>TDX2C88</t>
  </si>
  <si>
    <t>JM SSZ - LUCAS CARMO DE MOURA</t>
  </si>
  <si>
    <t>RMG8I16</t>
  </si>
  <si>
    <t>JM SP - THIAGO DE SOUZA MIRANDA</t>
  </si>
  <si>
    <t>TLC4A33</t>
  </si>
  <si>
    <t>JM SP - WELLINGTON DE LIMA ROQUE</t>
  </si>
  <si>
    <t>UFL0A28</t>
  </si>
  <si>
    <t>JM SSZ - JULIANO CESAR DA SILVA</t>
  </si>
  <si>
    <t>TJM0B03</t>
  </si>
  <si>
    <t>UFL0A26</t>
  </si>
  <si>
    <t>Data da reclamação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</si>
</sst>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4" fontId="0" fillId="0" borderId="0" xfId="0" applyNumberFormat="1"/>
    <xf numFmtId="14" fontId="1" fillId="2" borderId="0" xfId="0" applyNumberFormat="1" applyFont="1" applyFill="1"/>
    <xf numFmtId="0" fontId="1" fillId="2" borderId="0" xfId="0" applyFont="1" applyFill="1"/>
    <xf numFmtId="4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1">
          <cell r="A1" t="str">
            <v>Descrição da Reclamação</v>
          </cell>
          <cell r="C1" t="str">
            <v>ID_do_Pedido</v>
          </cell>
        </row>
        <row r="2">
          <cell r="A2">
            <v>46170</v>
          </cell>
          <cell r="C2">
            <v>121410824</v>
          </cell>
        </row>
        <row r="3">
          <cell r="A3">
            <v>46153</v>
          </cell>
          <cell r="C3">
            <v>121772914</v>
          </cell>
        </row>
        <row r="4">
          <cell r="A4">
            <v>46153</v>
          </cell>
          <cell r="C4">
            <v>121758355</v>
          </cell>
        </row>
        <row r="5">
          <cell r="A5">
            <v>46153</v>
          </cell>
          <cell r="C5">
            <v>121948295</v>
          </cell>
        </row>
        <row r="6">
          <cell r="A6">
            <v>46153</v>
          </cell>
          <cell r="C6">
            <v>122162494</v>
          </cell>
        </row>
        <row r="7">
          <cell r="A7">
            <v>46153</v>
          </cell>
          <cell r="C7">
            <v>122172176</v>
          </cell>
        </row>
        <row r="8">
          <cell r="A8">
            <v>46153</v>
          </cell>
          <cell r="C8">
            <v>122136133</v>
          </cell>
        </row>
        <row r="9">
          <cell r="A9">
            <v>46153</v>
          </cell>
          <cell r="C9">
            <v>122172176</v>
          </cell>
        </row>
        <row r="10">
          <cell r="A10">
            <v>46153</v>
          </cell>
          <cell r="C10">
            <v>122136058</v>
          </cell>
        </row>
        <row r="11">
          <cell r="A11">
            <v>46153</v>
          </cell>
          <cell r="C11">
            <v>122175174</v>
          </cell>
        </row>
        <row r="12">
          <cell r="A12">
            <v>46153</v>
          </cell>
          <cell r="C12">
            <v>122172543</v>
          </cell>
        </row>
        <row r="13">
          <cell r="A13">
            <v>46153</v>
          </cell>
          <cell r="C13">
            <v>121949632</v>
          </cell>
        </row>
        <row r="14">
          <cell r="A14">
            <v>46153</v>
          </cell>
          <cell r="C14">
            <v>121967883</v>
          </cell>
        </row>
        <row r="15">
          <cell r="A15">
            <v>46153</v>
          </cell>
          <cell r="C15">
            <v>121989398</v>
          </cell>
        </row>
        <row r="16">
          <cell r="A16">
            <v>46153</v>
          </cell>
          <cell r="C16">
            <v>121954100</v>
          </cell>
        </row>
        <row r="17">
          <cell r="A17">
            <v>46153</v>
          </cell>
          <cell r="C17">
            <v>121852816</v>
          </cell>
        </row>
        <row r="18">
          <cell r="A18">
            <v>46153</v>
          </cell>
          <cell r="C18">
            <v>121954102</v>
          </cell>
        </row>
        <row r="19">
          <cell r="A19">
            <v>46153</v>
          </cell>
          <cell r="C19">
            <v>122076874</v>
          </cell>
        </row>
        <row r="20">
          <cell r="A20">
            <v>46151</v>
          </cell>
          <cell r="C20">
            <v>122076874</v>
          </cell>
        </row>
        <row r="21">
          <cell r="A21">
            <v>46151</v>
          </cell>
          <cell r="C21">
            <v>121772914</v>
          </cell>
        </row>
        <row r="22">
          <cell r="A22">
            <v>46151</v>
          </cell>
          <cell r="C22">
            <v>121869426</v>
          </cell>
        </row>
        <row r="23">
          <cell r="A23">
            <v>46151</v>
          </cell>
          <cell r="C23">
            <v>121937531</v>
          </cell>
        </row>
        <row r="24">
          <cell r="A24">
            <v>46151</v>
          </cell>
          <cell r="C24">
            <v>121999341</v>
          </cell>
        </row>
        <row r="25">
          <cell r="A25">
            <v>46150</v>
          </cell>
          <cell r="C25">
            <v>121937045</v>
          </cell>
        </row>
        <row r="26">
          <cell r="A26">
            <v>46150</v>
          </cell>
          <cell r="C26">
            <v>121923315</v>
          </cell>
        </row>
        <row r="27">
          <cell r="A27">
            <v>46149</v>
          </cell>
          <cell r="C27">
            <v>121813133</v>
          </cell>
        </row>
        <row r="28">
          <cell r="A28">
            <v>46149</v>
          </cell>
          <cell r="C28">
            <v>121784931</v>
          </cell>
        </row>
        <row r="29">
          <cell r="A29">
            <v>46149</v>
          </cell>
          <cell r="C29">
            <v>121749237</v>
          </cell>
        </row>
        <row r="30">
          <cell r="A30">
            <v>46149</v>
          </cell>
          <cell r="C30">
            <v>121891097</v>
          </cell>
        </row>
        <row r="31">
          <cell r="A31">
            <v>46149</v>
          </cell>
          <cell r="C31">
            <v>121884554</v>
          </cell>
        </row>
        <row r="32">
          <cell r="A32">
            <v>46149</v>
          </cell>
          <cell r="C32">
            <v>121784931</v>
          </cell>
        </row>
        <row r="33">
          <cell r="A33">
            <v>46149</v>
          </cell>
          <cell r="C33">
            <v>121884554</v>
          </cell>
        </row>
        <row r="34">
          <cell r="A34">
            <v>46148</v>
          </cell>
          <cell r="C34">
            <v>121933728</v>
          </cell>
        </row>
        <row r="35">
          <cell r="A35">
            <v>46148</v>
          </cell>
          <cell r="C35">
            <v>121969422</v>
          </cell>
        </row>
        <row r="36">
          <cell r="A36">
            <v>46148</v>
          </cell>
          <cell r="C36">
            <v>121973709</v>
          </cell>
        </row>
        <row r="37">
          <cell r="A37">
            <v>46148</v>
          </cell>
          <cell r="C37">
            <v>121849045</v>
          </cell>
        </row>
        <row r="38">
          <cell r="A38">
            <v>46148</v>
          </cell>
          <cell r="C38">
            <v>121839578</v>
          </cell>
        </row>
        <row r="39">
          <cell r="A39">
            <v>46147</v>
          </cell>
          <cell r="C39">
            <v>121806367</v>
          </cell>
        </row>
        <row r="40">
          <cell r="A40">
            <v>46147</v>
          </cell>
          <cell r="C40">
            <v>121737553</v>
          </cell>
        </row>
        <row r="41">
          <cell r="A41">
            <v>46147</v>
          </cell>
          <cell r="C41">
            <v>121736915</v>
          </cell>
        </row>
        <row r="42">
          <cell r="A42">
            <v>46147</v>
          </cell>
          <cell r="C42">
            <v>121681875</v>
          </cell>
        </row>
        <row r="43">
          <cell r="A43">
            <v>46146</v>
          </cell>
          <cell r="C43">
            <v>121758722</v>
          </cell>
        </row>
        <row r="44">
          <cell r="A44">
            <v>46146</v>
          </cell>
          <cell r="C44">
            <v>121768892</v>
          </cell>
        </row>
        <row r="45">
          <cell r="A45">
            <v>46146</v>
          </cell>
          <cell r="C45">
            <v>121743361</v>
          </cell>
        </row>
        <row r="46">
          <cell r="A46">
            <v>46144</v>
          </cell>
          <cell r="C46">
            <v>121708861</v>
          </cell>
        </row>
        <row r="47">
          <cell r="A47">
            <v>46144</v>
          </cell>
          <cell r="C47">
            <v>121752716</v>
          </cell>
        </row>
        <row r="48">
          <cell r="A48">
            <v>46144</v>
          </cell>
          <cell r="C48">
            <v>121692331</v>
          </cell>
        </row>
        <row r="49">
          <cell r="A49">
            <v>46144</v>
          </cell>
          <cell r="C49">
            <v>121752717</v>
          </cell>
        </row>
        <row r="50">
          <cell r="A50">
            <v>46144</v>
          </cell>
          <cell r="C50">
            <v>121748466</v>
          </cell>
        </row>
        <row r="51">
          <cell r="A51">
            <v>46144</v>
          </cell>
          <cell r="C51">
            <v>121749826</v>
          </cell>
        </row>
        <row r="52">
          <cell r="A52">
            <v>46144</v>
          </cell>
          <cell r="C52">
            <v>121699353</v>
          </cell>
        </row>
        <row r="53">
          <cell r="A53">
            <v>46143</v>
          </cell>
          <cell r="C53">
            <v>121678585</v>
          </cell>
        </row>
        <row r="54">
          <cell r="A54">
            <v>46143</v>
          </cell>
          <cell r="C54">
            <v>121694391</v>
          </cell>
        </row>
        <row r="55">
          <cell r="A55">
            <v>46143</v>
          </cell>
          <cell r="C55">
            <v>121733155</v>
          </cell>
        </row>
        <row r="56">
          <cell r="A56">
            <v>46143</v>
          </cell>
          <cell r="C56">
            <v>121677235</v>
          </cell>
        </row>
        <row r="57">
          <cell r="A57">
            <v>46143</v>
          </cell>
          <cell r="C57">
            <v>121681837</v>
          </cell>
        </row>
        <row r="58">
          <cell r="A58">
            <v>46143</v>
          </cell>
          <cell r="C58">
            <v>121609646</v>
          </cell>
        </row>
        <row r="59">
          <cell r="A59">
            <v>46142</v>
          </cell>
          <cell r="C59">
            <v>121638164</v>
          </cell>
        </row>
        <row r="60">
          <cell r="A60">
            <v>46142</v>
          </cell>
          <cell r="C60">
            <v>121639807</v>
          </cell>
        </row>
        <row r="61">
          <cell r="A61">
            <v>46142</v>
          </cell>
          <cell r="C61">
            <v>121639807</v>
          </cell>
        </row>
        <row r="62">
          <cell r="A62">
            <v>46142</v>
          </cell>
          <cell r="C62">
            <v>121655275</v>
          </cell>
        </row>
        <row r="63">
          <cell r="A63">
            <v>46142</v>
          </cell>
          <cell r="C63">
            <v>121644618</v>
          </cell>
        </row>
        <row r="64">
          <cell r="A64">
            <v>46141</v>
          </cell>
          <cell r="C64">
            <v>121395075</v>
          </cell>
        </row>
        <row r="65">
          <cell r="A65">
            <v>46141</v>
          </cell>
          <cell r="C65">
            <v>121608531</v>
          </cell>
        </row>
        <row r="66">
          <cell r="A66">
            <v>46141</v>
          </cell>
          <cell r="C66">
            <v>121624069</v>
          </cell>
        </row>
        <row r="67">
          <cell r="A67">
            <v>46141</v>
          </cell>
          <cell r="C67">
            <v>121492777</v>
          </cell>
        </row>
        <row r="68">
          <cell r="A68">
            <v>46141</v>
          </cell>
          <cell r="C68">
            <v>121580383</v>
          </cell>
        </row>
        <row r="69">
          <cell r="A69">
            <v>46141</v>
          </cell>
          <cell r="C69">
            <v>120743174</v>
          </cell>
        </row>
        <row r="70">
          <cell r="A70">
            <v>46140</v>
          </cell>
          <cell r="C70">
            <v>121597722</v>
          </cell>
        </row>
        <row r="71">
          <cell r="A71">
            <v>46140</v>
          </cell>
          <cell r="C71">
            <v>121538674</v>
          </cell>
        </row>
        <row r="72">
          <cell r="A72">
            <v>46140</v>
          </cell>
          <cell r="C72">
            <v>121494697</v>
          </cell>
        </row>
        <row r="73">
          <cell r="A73">
            <v>46140</v>
          </cell>
          <cell r="C73">
            <v>121580860</v>
          </cell>
        </row>
        <row r="74">
          <cell r="A74">
            <v>46139</v>
          </cell>
          <cell r="C74">
            <v>121462830</v>
          </cell>
        </row>
        <row r="75">
          <cell r="A75">
            <v>46139</v>
          </cell>
          <cell r="C75">
            <v>121549228</v>
          </cell>
        </row>
        <row r="76">
          <cell r="A76">
            <v>46139</v>
          </cell>
          <cell r="C76">
            <v>121269915</v>
          </cell>
        </row>
        <row r="77">
          <cell r="A77">
            <v>46139</v>
          </cell>
          <cell r="C77">
            <v>121563564</v>
          </cell>
        </row>
        <row r="78">
          <cell r="A78">
            <v>46139</v>
          </cell>
          <cell r="C78">
            <v>121243643</v>
          </cell>
        </row>
        <row r="79">
          <cell r="A79">
            <v>46139</v>
          </cell>
          <cell r="C79">
            <v>121472974</v>
          </cell>
        </row>
        <row r="80">
          <cell r="A80">
            <v>46139</v>
          </cell>
          <cell r="C80">
            <v>121522733</v>
          </cell>
        </row>
        <row r="81">
          <cell r="A81">
            <v>46139</v>
          </cell>
          <cell r="C81">
            <v>121553543</v>
          </cell>
        </row>
        <row r="82">
          <cell r="A82">
            <v>46139</v>
          </cell>
          <cell r="C82">
            <v>121472856</v>
          </cell>
        </row>
        <row r="83">
          <cell r="A83">
            <v>46139</v>
          </cell>
          <cell r="C83">
            <v>121476617</v>
          </cell>
        </row>
        <row r="84">
          <cell r="A84">
            <v>46139</v>
          </cell>
          <cell r="C84">
            <v>121462830</v>
          </cell>
        </row>
        <row r="85">
          <cell r="A85">
            <v>46139</v>
          </cell>
          <cell r="C85">
            <v>120698190</v>
          </cell>
        </row>
        <row r="86">
          <cell r="A86">
            <v>46137</v>
          </cell>
          <cell r="C86">
            <v>121384237</v>
          </cell>
        </row>
        <row r="87">
          <cell r="A87">
            <v>46137</v>
          </cell>
          <cell r="C87">
            <v>121498407</v>
          </cell>
        </row>
        <row r="88">
          <cell r="A88">
            <v>46137</v>
          </cell>
          <cell r="C88">
            <v>121498406</v>
          </cell>
        </row>
        <row r="89">
          <cell r="A89">
            <v>46137</v>
          </cell>
          <cell r="C89">
            <v>121487842</v>
          </cell>
        </row>
        <row r="90">
          <cell r="A90">
            <v>46137</v>
          </cell>
          <cell r="C90">
            <v>121155050</v>
          </cell>
        </row>
        <row r="91">
          <cell r="A91">
            <v>46137</v>
          </cell>
          <cell r="C91">
            <v>121395075</v>
          </cell>
        </row>
        <row r="92">
          <cell r="A92">
            <v>46137</v>
          </cell>
          <cell r="C92">
            <v>121444070</v>
          </cell>
        </row>
        <row r="93">
          <cell r="A93">
            <v>46136</v>
          </cell>
          <cell r="C93">
            <v>121317383</v>
          </cell>
        </row>
        <row r="94">
          <cell r="A94">
            <v>46136</v>
          </cell>
          <cell r="C94">
            <v>121355264</v>
          </cell>
        </row>
        <row r="95">
          <cell r="A95">
            <v>46136</v>
          </cell>
          <cell r="C95">
            <v>121478933</v>
          </cell>
        </row>
        <row r="96">
          <cell r="A96">
            <v>46136</v>
          </cell>
          <cell r="C96">
            <v>121461118</v>
          </cell>
        </row>
        <row r="97">
          <cell r="A97">
            <v>46135</v>
          </cell>
          <cell r="C97">
            <v>121324238</v>
          </cell>
        </row>
        <row r="98">
          <cell r="A98">
            <v>46135</v>
          </cell>
          <cell r="C98">
            <v>121436565</v>
          </cell>
        </row>
        <row r="99">
          <cell r="A99">
            <v>46135</v>
          </cell>
          <cell r="C99">
            <v>121261395</v>
          </cell>
        </row>
        <row r="100">
          <cell r="A100">
            <v>46135</v>
          </cell>
          <cell r="C100">
            <v>121313329</v>
          </cell>
        </row>
        <row r="101">
          <cell r="A101">
            <v>46134</v>
          </cell>
          <cell r="C101">
            <v>121249995</v>
          </cell>
        </row>
        <row r="102">
          <cell r="A102">
            <v>46134</v>
          </cell>
          <cell r="C102">
            <v>121282964</v>
          </cell>
        </row>
        <row r="103">
          <cell r="A103">
            <v>46134</v>
          </cell>
          <cell r="C103">
            <v>121332627</v>
          </cell>
        </row>
        <row r="104">
          <cell r="A104">
            <v>46132</v>
          </cell>
          <cell r="C104">
            <v>121243678</v>
          </cell>
        </row>
        <row r="105">
          <cell r="A105">
            <v>46132</v>
          </cell>
          <cell r="C105">
            <v>121245860</v>
          </cell>
        </row>
        <row r="106">
          <cell r="A106">
            <v>46132</v>
          </cell>
          <cell r="C106">
            <v>121354693</v>
          </cell>
        </row>
        <row r="107">
          <cell r="A107">
            <v>46132</v>
          </cell>
          <cell r="C107">
            <v>121218112</v>
          </cell>
        </row>
        <row r="108">
          <cell r="A108">
            <v>46132</v>
          </cell>
          <cell r="C108">
            <v>121091887</v>
          </cell>
        </row>
        <row r="109">
          <cell r="A109">
            <v>46132</v>
          </cell>
          <cell r="C109">
            <v>121160357</v>
          </cell>
        </row>
        <row r="110">
          <cell r="A110">
            <v>46132</v>
          </cell>
          <cell r="C110">
            <v>121289181</v>
          </cell>
        </row>
        <row r="111">
          <cell r="A111">
            <v>46130</v>
          </cell>
          <cell r="C111">
            <v>121094621</v>
          </cell>
        </row>
        <row r="112">
          <cell r="A112">
            <v>46130</v>
          </cell>
          <cell r="C112">
            <v>121133653</v>
          </cell>
        </row>
        <row r="113">
          <cell r="A113">
            <v>46130</v>
          </cell>
          <cell r="C113">
            <v>120809879</v>
          </cell>
        </row>
        <row r="114">
          <cell r="A114">
            <v>46130</v>
          </cell>
          <cell r="C114">
            <v>121176515</v>
          </cell>
        </row>
        <row r="115">
          <cell r="A115">
            <v>46130</v>
          </cell>
          <cell r="C115">
            <v>121243643</v>
          </cell>
        </row>
        <row r="116">
          <cell r="A116">
            <v>46130</v>
          </cell>
          <cell r="C116">
            <v>121134948</v>
          </cell>
        </row>
        <row r="117">
          <cell r="A117">
            <v>46130</v>
          </cell>
          <cell r="C117">
            <v>121256380</v>
          </cell>
        </row>
        <row r="118">
          <cell r="A118">
            <v>46130</v>
          </cell>
          <cell r="C118">
            <v>121156845</v>
          </cell>
        </row>
        <row r="119">
          <cell r="A119">
            <v>46130</v>
          </cell>
          <cell r="C119">
            <v>121129348</v>
          </cell>
        </row>
        <row r="120">
          <cell r="A120">
            <v>46130</v>
          </cell>
          <cell r="C120">
            <v>121247958</v>
          </cell>
        </row>
        <row r="121">
          <cell r="A121">
            <v>46130</v>
          </cell>
          <cell r="C121">
            <v>121286005</v>
          </cell>
        </row>
        <row r="122">
          <cell r="A122">
            <v>46126</v>
          </cell>
          <cell r="C122">
            <v>121059276</v>
          </cell>
        </row>
        <row r="123">
          <cell r="A123">
            <v>46126</v>
          </cell>
          <cell r="C123">
            <v>121121809</v>
          </cell>
        </row>
        <row r="124">
          <cell r="A124">
            <v>46126</v>
          </cell>
          <cell r="C124">
            <v>121164583</v>
          </cell>
        </row>
        <row r="125">
          <cell r="A125">
            <v>46126</v>
          </cell>
          <cell r="C125">
            <v>121154943</v>
          </cell>
        </row>
        <row r="126">
          <cell r="A126">
            <v>46125</v>
          </cell>
          <cell r="C126">
            <v>121112742</v>
          </cell>
        </row>
        <row r="127">
          <cell r="A127">
            <v>46124</v>
          </cell>
          <cell r="C127">
            <v>121074309</v>
          </cell>
        </row>
        <row r="128">
          <cell r="A128">
            <v>46124</v>
          </cell>
          <cell r="C128">
            <v>121079462</v>
          </cell>
        </row>
        <row r="129">
          <cell r="A129">
            <v>46123</v>
          </cell>
          <cell r="C129">
            <v>121023314</v>
          </cell>
        </row>
        <row r="130">
          <cell r="A130">
            <v>46123</v>
          </cell>
          <cell r="C130">
            <v>121060443</v>
          </cell>
        </row>
        <row r="131">
          <cell r="A131">
            <v>46123</v>
          </cell>
          <cell r="C131">
            <v>121060445</v>
          </cell>
        </row>
        <row r="132">
          <cell r="A132">
            <v>46121</v>
          </cell>
          <cell r="C132">
            <v>120983960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2EF0-35BC-4491-B93C-C7537E55FF5C}">
  <dimension ref="A1:G29"/>
  <sheetViews>
    <sheetView tabSelected="1" workbookViewId="0">
      <selection activeCell="J13" sqref="J13"/>
    </sheetView>
  </sheetViews>
  <sheetFormatPr defaultRowHeight="15" x14ac:dyDescent="0.25"/>
  <cols>
    <col min="1" max="1" width="18.7109375" style="1" bestFit="1" customWidth="1"/>
    <col min="2" max="2" width="21" bestFit="1" customWidth="1"/>
    <col min="3" max="3" width="13.140625" bestFit="1" customWidth="1"/>
    <col min="4" max="4" width="40.28515625" bestFit="1" customWidth="1"/>
    <col min="5" max="5" width="8" bestFit="1" customWidth="1"/>
    <col min="6" max="6" width="16.140625" bestFit="1" customWidth="1"/>
    <col min="7" max="7" width="10.5703125" style="2" bestFit="1" customWidth="1"/>
  </cols>
  <sheetData>
    <row r="1" spans="1:7" s="4" customFormat="1" x14ac:dyDescent="0.25">
      <c r="A1" s="3" t="s">
        <v>39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x14ac:dyDescent="0.25">
      <c r="A2" s="1">
        <f>_xlfn.XLOOKUP(C2,[1]Planilha1!$C:$C,[1]Planilha1!$A:$A,"não",0)</f>
        <v>46150</v>
      </c>
      <c r="B2" s="1">
        <v>46147</v>
      </c>
      <c r="C2">
        <v>121937045</v>
      </c>
      <c r="D2" t="s">
        <v>6</v>
      </c>
      <c r="E2">
        <v>1035313</v>
      </c>
      <c r="F2" t="s">
        <v>7</v>
      </c>
      <c r="G2" s="2">
        <v>165.2</v>
      </c>
    </row>
    <row r="3" spans="1:7" x14ac:dyDescent="0.25">
      <c r="A3" s="1">
        <f>_xlfn.XLOOKUP(C3,[1]Planilha1!$C:$C,[1]Planilha1!$A:$A,"não",0)</f>
        <v>46150</v>
      </c>
      <c r="B3" s="1">
        <v>46147</v>
      </c>
      <c r="C3">
        <v>121923315</v>
      </c>
      <c r="D3" t="s">
        <v>6</v>
      </c>
      <c r="E3">
        <v>1035313</v>
      </c>
      <c r="F3" t="s">
        <v>7</v>
      </c>
      <c r="G3" s="2">
        <v>148.97999999999999</v>
      </c>
    </row>
    <row r="4" spans="1:7" x14ac:dyDescent="0.25">
      <c r="A4" s="1">
        <f>_xlfn.XLOOKUP(C4,[1]Planilha1!$C:$C,[1]Planilha1!$A:$A,"não",0)</f>
        <v>46149</v>
      </c>
      <c r="B4" s="1">
        <v>46146</v>
      </c>
      <c r="C4">
        <v>121813133</v>
      </c>
      <c r="D4" t="s">
        <v>6</v>
      </c>
      <c r="E4">
        <v>1034857</v>
      </c>
      <c r="F4" t="s">
        <v>7</v>
      </c>
      <c r="G4" s="2">
        <v>52.44</v>
      </c>
    </row>
    <row r="5" spans="1:7" x14ac:dyDescent="0.25">
      <c r="A5" s="1">
        <f>_xlfn.XLOOKUP(C5,[1]Planilha1!$C:$C,[1]Planilha1!$A:$A,"não",0)</f>
        <v>46149</v>
      </c>
      <c r="B5" s="1">
        <v>46143</v>
      </c>
      <c r="C5">
        <v>121784931</v>
      </c>
      <c r="D5" t="s">
        <v>8</v>
      </c>
      <c r="E5">
        <v>1033951</v>
      </c>
      <c r="F5" t="s">
        <v>9</v>
      </c>
      <c r="G5" s="2">
        <v>127.92</v>
      </c>
    </row>
    <row r="6" spans="1:7" x14ac:dyDescent="0.25">
      <c r="A6" s="1">
        <f>_xlfn.XLOOKUP(C6,[1]Planilha1!$C:$C,[1]Planilha1!$A:$A,"não",0)</f>
        <v>46149</v>
      </c>
      <c r="B6" s="1">
        <v>46142</v>
      </c>
      <c r="C6">
        <v>121749237</v>
      </c>
      <c r="D6" t="s">
        <v>10</v>
      </c>
      <c r="E6">
        <v>1033448</v>
      </c>
      <c r="F6" t="s">
        <v>11</v>
      </c>
      <c r="G6" s="2">
        <v>31.49</v>
      </c>
    </row>
    <row r="7" spans="1:7" x14ac:dyDescent="0.25">
      <c r="A7" s="1">
        <f>_xlfn.XLOOKUP(C7,[1]Planilha1!$C:$C,[1]Planilha1!$A:$A,"não",0)</f>
        <v>46149</v>
      </c>
      <c r="B7" s="1">
        <v>46146</v>
      </c>
      <c r="C7">
        <v>121891097</v>
      </c>
      <c r="D7" t="s">
        <v>12</v>
      </c>
      <c r="E7">
        <v>1034853</v>
      </c>
      <c r="F7" t="s">
        <v>13</v>
      </c>
      <c r="G7" s="2">
        <v>110.93</v>
      </c>
    </row>
    <row r="8" spans="1:7" x14ac:dyDescent="0.25">
      <c r="A8" s="1">
        <f>_xlfn.XLOOKUP(C8,[1]Planilha1!$C:$C,[1]Planilha1!$A:$A,"não",0)</f>
        <v>46149</v>
      </c>
      <c r="B8" s="1">
        <v>46147</v>
      </c>
      <c r="C8">
        <v>121884554</v>
      </c>
      <c r="D8" t="s">
        <v>14</v>
      </c>
      <c r="E8">
        <v>1035305</v>
      </c>
      <c r="F8" t="s">
        <v>15</v>
      </c>
      <c r="G8" s="2">
        <v>21.68</v>
      </c>
    </row>
    <row r="9" spans="1:7" x14ac:dyDescent="0.25">
      <c r="A9" s="1">
        <f>_xlfn.XLOOKUP(C9,[1]Planilha1!$C:$C,[1]Planilha1!$A:$A,"não",0)</f>
        <v>46149</v>
      </c>
      <c r="B9" s="1">
        <v>46143</v>
      </c>
      <c r="C9">
        <v>121784931</v>
      </c>
      <c r="D9" t="s">
        <v>8</v>
      </c>
      <c r="E9">
        <v>1033951</v>
      </c>
      <c r="F9" t="s">
        <v>9</v>
      </c>
      <c r="G9" s="2">
        <v>127.92</v>
      </c>
    </row>
    <row r="10" spans="1:7" x14ac:dyDescent="0.25">
      <c r="A10" s="1">
        <f>_xlfn.XLOOKUP(C10,[1]Planilha1!$C:$C,[1]Planilha1!$A:$A,"não",0)</f>
        <v>46149</v>
      </c>
      <c r="B10" s="1">
        <v>46147</v>
      </c>
      <c r="C10">
        <v>121884554</v>
      </c>
      <c r="D10" t="s">
        <v>16</v>
      </c>
      <c r="E10">
        <v>1035305</v>
      </c>
      <c r="F10" t="s">
        <v>15</v>
      </c>
      <c r="G10" s="2">
        <v>21.68</v>
      </c>
    </row>
    <row r="11" spans="1:7" x14ac:dyDescent="0.25">
      <c r="A11" s="1">
        <f>_xlfn.XLOOKUP(C11,[1]Planilha1!$C:$C,[1]Planilha1!$A:$A,"não",0)</f>
        <v>46148</v>
      </c>
      <c r="B11" s="1">
        <v>46147</v>
      </c>
      <c r="C11">
        <v>121933728</v>
      </c>
      <c r="D11" t="s">
        <v>17</v>
      </c>
      <c r="E11">
        <v>1035327</v>
      </c>
      <c r="F11" t="s">
        <v>18</v>
      </c>
      <c r="G11" s="2">
        <v>286.08999999999997</v>
      </c>
    </row>
    <row r="12" spans="1:7" x14ac:dyDescent="0.25">
      <c r="A12" s="1">
        <f>_xlfn.XLOOKUP(C12,[1]Planilha1!$C:$C,[1]Planilha1!$A:$A,"não",0)</f>
        <v>46148</v>
      </c>
      <c r="B12" s="1">
        <v>46147</v>
      </c>
      <c r="C12">
        <v>121969422</v>
      </c>
      <c r="D12" t="s">
        <v>8</v>
      </c>
      <c r="E12">
        <v>1035571</v>
      </c>
      <c r="F12" t="s">
        <v>9</v>
      </c>
      <c r="G12" s="2">
        <v>84.36</v>
      </c>
    </row>
    <row r="13" spans="1:7" x14ac:dyDescent="0.25">
      <c r="A13" s="1">
        <f>_xlfn.XLOOKUP(C13,[1]Planilha1!$C:$C,[1]Planilha1!$A:$A,"não",0)</f>
        <v>46148</v>
      </c>
      <c r="B13" s="1">
        <v>46147</v>
      </c>
      <c r="C13">
        <v>121973709</v>
      </c>
      <c r="D13" t="s">
        <v>8</v>
      </c>
      <c r="E13">
        <v>1035571</v>
      </c>
      <c r="F13" t="s">
        <v>9</v>
      </c>
      <c r="G13" s="2">
        <v>75.3</v>
      </c>
    </row>
    <row r="14" spans="1:7" x14ac:dyDescent="0.25">
      <c r="A14" s="1">
        <f>_xlfn.XLOOKUP(C14,[1]Planilha1!$C:$C,[1]Planilha1!$A:$A,"não",0)</f>
        <v>46148</v>
      </c>
      <c r="B14" s="1">
        <v>46147</v>
      </c>
      <c r="C14">
        <v>121849045</v>
      </c>
      <c r="D14" t="s">
        <v>19</v>
      </c>
      <c r="E14">
        <v>1034838</v>
      </c>
      <c r="F14" t="s">
        <v>20</v>
      </c>
      <c r="G14" s="2">
        <v>347.99</v>
      </c>
    </row>
    <row r="15" spans="1:7" x14ac:dyDescent="0.25">
      <c r="A15" s="1">
        <f>_xlfn.XLOOKUP(C15,[1]Planilha1!$C:$C,[1]Planilha1!$A:$A,"não",0)</f>
        <v>46148</v>
      </c>
      <c r="B15" s="1">
        <v>46143</v>
      </c>
      <c r="C15">
        <v>121839578</v>
      </c>
      <c r="D15" t="s">
        <v>21</v>
      </c>
      <c r="E15">
        <v>1034238</v>
      </c>
      <c r="F15" t="s">
        <v>22</v>
      </c>
      <c r="G15" s="2">
        <v>191.5</v>
      </c>
    </row>
    <row r="16" spans="1:7" x14ac:dyDescent="0.25">
      <c r="A16" s="1">
        <f>_xlfn.XLOOKUP(C16,[1]Planilha1!$C:$C,[1]Planilha1!$A:$A,"não",0)</f>
        <v>46147</v>
      </c>
      <c r="B16" s="1">
        <v>46143</v>
      </c>
      <c r="C16">
        <v>121806367</v>
      </c>
      <c r="D16" t="s">
        <v>23</v>
      </c>
      <c r="E16">
        <v>1034194</v>
      </c>
      <c r="F16" t="s">
        <v>38</v>
      </c>
      <c r="G16" s="2">
        <v>391.02</v>
      </c>
    </row>
    <row r="17" spans="1:7" x14ac:dyDescent="0.25">
      <c r="A17" s="1">
        <f>_xlfn.XLOOKUP(C17,[1]Planilha1!$C:$C,[1]Planilha1!$A:$A,"não",0)</f>
        <v>46147</v>
      </c>
      <c r="B17" s="1">
        <v>46142</v>
      </c>
      <c r="C17">
        <v>121737553</v>
      </c>
      <c r="D17" t="s">
        <v>24</v>
      </c>
      <c r="E17">
        <v>1033560</v>
      </c>
      <c r="F17" t="s">
        <v>9</v>
      </c>
      <c r="G17" s="2">
        <v>29.67</v>
      </c>
    </row>
    <row r="18" spans="1:7" x14ac:dyDescent="0.25">
      <c r="A18" s="1">
        <f>_xlfn.XLOOKUP(C18,[1]Planilha1!$C:$C,[1]Planilha1!$A:$A,"não",0)</f>
        <v>46147</v>
      </c>
      <c r="B18" s="1">
        <v>46142</v>
      </c>
      <c r="C18">
        <v>121736915</v>
      </c>
      <c r="D18" t="s">
        <v>24</v>
      </c>
      <c r="E18">
        <v>1033560</v>
      </c>
      <c r="F18" t="s">
        <v>9</v>
      </c>
      <c r="G18" s="2">
        <v>258.83999999999997</v>
      </c>
    </row>
    <row r="19" spans="1:7" x14ac:dyDescent="0.25">
      <c r="A19" s="1">
        <f>_xlfn.XLOOKUP(C19,[1]Planilha1!$C:$C,[1]Planilha1!$A:$A,"não",0)</f>
        <v>46147</v>
      </c>
      <c r="B19" s="1">
        <v>46140</v>
      </c>
      <c r="C19">
        <v>121681875</v>
      </c>
      <c r="D19" t="s">
        <v>25</v>
      </c>
      <c r="E19">
        <v>1032666</v>
      </c>
      <c r="F19" t="s">
        <v>13</v>
      </c>
      <c r="G19" s="2">
        <v>150.12</v>
      </c>
    </row>
    <row r="20" spans="1:7" x14ac:dyDescent="0.25">
      <c r="A20" s="1">
        <f>_xlfn.XLOOKUP(C20,[1]Planilha1!$C:$C,[1]Planilha1!$A:$A,"não",0)</f>
        <v>46146</v>
      </c>
      <c r="B20" s="1">
        <v>46143</v>
      </c>
      <c r="C20">
        <v>121758722</v>
      </c>
      <c r="D20" t="s">
        <v>8</v>
      </c>
      <c r="E20">
        <v>1033951</v>
      </c>
      <c r="F20" t="s">
        <v>9</v>
      </c>
      <c r="G20" s="2">
        <v>188.61</v>
      </c>
    </row>
    <row r="21" spans="1:7" x14ac:dyDescent="0.25">
      <c r="A21" s="1">
        <f>_xlfn.XLOOKUP(C21,[1]Planilha1!$C:$C,[1]Planilha1!$A:$A,"não",0)</f>
        <v>46146</v>
      </c>
      <c r="B21" s="1">
        <v>46142</v>
      </c>
      <c r="C21">
        <v>121768892</v>
      </c>
      <c r="D21" t="s">
        <v>26</v>
      </c>
      <c r="E21">
        <v>1033839</v>
      </c>
      <c r="F21" t="s">
        <v>27</v>
      </c>
      <c r="G21" s="2">
        <v>180.93</v>
      </c>
    </row>
    <row r="22" spans="1:7" x14ac:dyDescent="0.25">
      <c r="A22" s="1">
        <f>_xlfn.XLOOKUP(C22,[1]Planilha1!$C:$C,[1]Planilha1!$A:$A,"não",0)</f>
        <v>46146</v>
      </c>
      <c r="B22" s="1">
        <v>46142</v>
      </c>
      <c r="C22">
        <v>121743361</v>
      </c>
      <c r="D22" t="s">
        <v>28</v>
      </c>
      <c r="E22">
        <v>1033486</v>
      </c>
      <c r="F22" t="s">
        <v>29</v>
      </c>
      <c r="G22" s="2">
        <v>317.14999999999998</v>
      </c>
    </row>
    <row r="23" spans="1:7" x14ac:dyDescent="0.25">
      <c r="A23" s="1">
        <f>_xlfn.XLOOKUP(C23,[1]Planilha1!$C:$C,[1]Planilha1!$A:$A,"não",0)</f>
        <v>46144</v>
      </c>
      <c r="B23" s="1">
        <v>46141</v>
      </c>
      <c r="C23">
        <v>121708861</v>
      </c>
      <c r="D23" t="s">
        <v>30</v>
      </c>
      <c r="E23">
        <v>1033279</v>
      </c>
      <c r="F23" t="s">
        <v>31</v>
      </c>
      <c r="G23" s="2">
        <v>107.92</v>
      </c>
    </row>
    <row r="24" spans="1:7" x14ac:dyDescent="0.25">
      <c r="A24" s="1">
        <f>_xlfn.XLOOKUP(C24,[1]Planilha1!$C:$C,[1]Planilha1!$A:$A,"não",0)</f>
        <v>46144</v>
      </c>
      <c r="B24" s="1">
        <v>46142</v>
      </c>
      <c r="C24">
        <v>121752716</v>
      </c>
      <c r="D24" t="s">
        <v>32</v>
      </c>
      <c r="E24">
        <v>1033561</v>
      </c>
      <c r="F24" t="s">
        <v>33</v>
      </c>
      <c r="G24" s="2">
        <v>58.32</v>
      </c>
    </row>
    <row r="25" spans="1:7" x14ac:dyDescent="0.25">
      <c r="A25" s="1">
        <f>_xlfn.XLOOKUP(C25,[1]Planilha1!$C:$C,[1]Planilha1!$A:$A,"não",0)</f>
        <v>46144</v>
      </c>
      <c r="B25" s="1">
        <v>46141</v>
      </c>
      <c r="C25">
        <v>121692331</v>
      </c>
      <c r="D25" t="s">
        <v>34</v>
      </c>
      <c r="E25">
        <v>1032963</v>
      </c>
      <c r="F25" t="s">
        <v>35</v>
      </c>
      <c r="G25" s="2">
        <v>19.64</v>
      </c>
    </row>
    <row r="26" spans="1:7" x14ac:dyDescent="0.25">
      <c r="A26" s="1">
        <f>_xlfn.XLOOKUP(C26,[1]Planilha1!$C:$C,[1]Planilha1!$A:$A,"não",0)</f>
        <v>46144</v>
      </c>
      <c r="B26" s="1">
        <v>46142</v>
      </c>
      <c r="C26">
        <v>121752717</v>
      </c>
      <c r="D26" t="s">
        <v>32</v>
      </c>
      <c r="E26">
        <v>1033561</v>
      </c>
      <c r="F26" t="s">
        <v>33</v>
      </c>
      <c r="G26" s="2">
        <v>194.63</v>
      </c>
    </row>
    <row r="27" spans="1:7" x14ac:dyDescent="0.25">
      <c r="A27" s="1">
        <f>_xlfn.XLOOKUP(C27,[1]Planilha1!$C:$C,[1]Planilha1!$A:$A,"não",0)</f>
        <v>46144</v>
      </c>
      <c r="B27" s="1">
        <v>46142</v>
      </c>
      <c r="C27">
        <v>121748466</v>
      </c>
      <c r="D27" t="s">
        <v>10</v>
      </c>
      <c r="E27">
        <v>1033448</v>
      </c>
      <c r="F27" t="s">
        <v>11</v>
      </c>
      <c r="G27" s="2">
        <v>149.57</v>
      </c>
    </row>
    <row r="28" spans="1:7" x14ac:dyDescent="0.25">
      <c r="A28" s="1">
        <f>_xlfn.XLOOKUP(C28,[1]Planilha1!$C:$C,[1]Planilha1!$A:$A,"não",0)</f>
        <v>46144</v>
      </c>
      <c r="B28" s="1">
        <v>46142</v>
      </c>
      <c r="C28">
        <v>121749826</v>
      </c>
      <c r="D28" t="s">
        <v>36</v>
      </c>
      <c r="E28">
        <v>1033513</v>
      </c>
      <c r="F28" t="s">
        <v>37</v>
      </c>
      <c r="G28" s="2">
        <v>129.96</v>
      </c>
    </row>
    <row r="29" spans="1:7" x14ac:dyDescent="0.25">
      <c r="A29" s="1">
        <f>_xlfn.XLOOKUP(C29,[1]Planilha1!$C:$C,[1]Planilha1!$A:$A,"não",0)</f>
        <v>46144</v>
      </c>
      <c r="B29" s="1">
        <v>46171</v>
      </c>
      <c r="C29">
        <v>121699353</v>
      </c>
      <c r="D29" t="s">
        <v>30</v>
      </c>
      <c r="E29">
        <v>1033279</v>
      </c>
      <c r="F29" t="s">
        <v>31</v>
      </c>
      <c r="G29" s="2">
        <v>128.28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Aparecida Vieira da Silva</dc:creator>
  <cp:lastModifiedBy>Daniela Aparecida Vieira da Silva</cp:lastModifiedBy>
  <dcterms:created xsi:type="dcterms:W3CDTF">2026-05-12T15:17:10Z</dcterms:created>
  <dcterms:modified xsi:type="dcterms:W3CDTF">2026-05-12T20:45:12Z</dcterms:modified>
</cp:coreProperties>
</file>